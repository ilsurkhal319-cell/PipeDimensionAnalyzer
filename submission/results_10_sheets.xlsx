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a1d7917f0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ультаты" sheetId="1" r:id="R68c8e131d2be4f24"/>
    <x:sheet xmlns:r="http://schemas.openxmlformats.org/officeDocument/2006/relationships" name="Метрики" sheetId="2" r:id="Rec84fdd15379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00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7A4E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688c230724a95" /><Relationship Type="http://schemas.openxmlformats.org/officeDocument/2006/relationships/theme" Target="/xl/theme/theme1.xml" Id="R86a0892d610c434a" /><Relationship Type="http://schemas.openxmlformats.org/officeDocument/2006/relationships/sharedStrings" Target="/xl/sharedStrings.xml" Id="R5d54c66e92df4a3e" /><Relationship Type="http://schemas.openxmlformats.org/officeDocument/2006/relationships/worksheet" Target="/xl/worksheets/sheet1.xml" Id="R68c8e131d2be4f24" /><Relationship Type="http://schemas.openxmlformats.org/officeDocument/2006/relationships/worksheet" Target="/xl/worksheets/sheet2.xml" Id="Rec84fdd153794e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14" hidden="0" customWidth="1"/>
    <x:col min="4" max="4" width="14" hidden="0" customWidth="1"/>
    <x:col min="5" max="5" width="56" hidden="0" customWidth="1"/>
    <x:col min="6" max="6" width="12" hidden="0" customWidth="1"/>
    <x:col min="7" max="7" width="36" hidden="0" customWidth="1"/>
  </x:cols>
  <x:sheetData>
    <x:row r="1">
      <x:c r="A1" s="1" t="str">
        <x:v>Расчёт длины трубопроводов по 10 листам</x:v>
      </x:c>
      <x:c r="B1" s="1"/>
      <x:c r="C1" s="1"/>
      <x:c r="D1" s="1"/>
      <x:c r="E1" s="1"/>
      <x:c r="F1" s="1"/>
      <x:c r="G1" s="1"/>
    </x:row>
    <x:row r="2">
      <x:c r="A2" s="2" t="str">
        <x:v>Длины рассчитаны программно по подтверждённым размерам; формулы приведены для проверки.</x:v>
      </x:c>
      <x:c r="B2" s="2"/>
      <x:c r="C2" s="2"/>
      <x:c r="D2" s="2"/>
      <x:c r="E2" s="2"/>
      <x:c r="F2" s="2"/>
      <x:c r="G2" s="2"/>
    </x:row>
    <x:row r="4" ht="15" hidden="0" customHeight="1">
      <x:c r="A4" s="14" t="str">
        <x:v>Лист</x:v>
      </x:c>
      <x:c r="B4" s="14" t="str">
        <x:v>Обозначение линии</x:v>
      </x:c>
      <x:c r="C4" s="14" t="str">
        <x:v>Длина, мм</x:v>
      </x:c>
      <x:c r="D4" s="14" t="str">
        <x:v>Длина, м</x:v>
      </x:c>
      <x:c r="E4" s="14" t="str">
        <x:v>Формула расчёта</x:v>
      </x:c>
      <x:c r="F4" s="14" t="str">
        <x:v>Статус</x:v>
      </x:c>
      <x:c r="G4" s="14" t="str">
        <x:v>Замечания</x:v>
      </x:c>
    </x:row>
    <x:row r="5" ht="34" hidden="0" customHeight="1">
      <x:c r="A5" s="15" t="n">
        <x:v>1</x:v>
      </x:c>
      <x:c r="B5" s="16" t="str">
        <x:v>SW_1002</x:v>
      </x:c>
      <x:c r="C5" s="17" t="n">
        <x:v>5563</x:v>
      </x:c>
      <x:c r="D5" s="18" t="n">
        <x:f>C5/1000</x:f>
        <x:v>5.563</x:v>
      </x:c>
      <x:c r="E5" s="19" t="str">
        <x:v>1383 + 600 + 2160 + 900 + 320 + 200</x:v>
      </x:c>
      <x:c r="F5" s="20" t="str">
        <x:v>ok</x:v>
      </x:c>
      <x:c r="G5" s="19" t="str"/>
    </x:row>
    <x:row r="6" ht="34" hidden="0" customHeight="1">
      <x:c r="A6" s="15" t="n">
        <x:v>2</x:v>
      </x:c>
      <x:c r="B6" s="16" t="str">
        <x:v>P15_1039</x:v>
      </x:c>
      <x:c r="C6" s="17" t="n">
        <x:v>22423</x:v>
      </x:c>
      <x:c r="D6" s="18" t="n">
        <x:f>C6/1000</x:f>
        <x:v>22.423</x:v>
      </x:c>
      <x:c r="E6" s="19" t="str">
        <x:v>730 + 174 + 352 + 1406 + 1900 + 150 + 10200 + 5644 + 1350 + 293 + 224</x:v>
      </x:c>
      <x:c r="F6" s="20" t="str">
        <x:v>ok</x:v>
      </x:c>
      <x:c r="G6" s="19" t="str"/>
    </x:row>
    <x:row r="7" ht="34" hidden="0" customHeight="1">
      <x:c r="A7" s="15" t="n">
        <x:v>3</x:v>
      </x:c>
      <x:c r="B7" s="16" t="str">
        <x:v>P15_1037</x:v>
      </x:c>
      <x:c r="C7" s="17" t="n">
        <x:v>6380</x:v>
      </x:c>
      <x:c r="D7" s="18" t="n">
        <x:f>C7/1000</x:f>
        <x:v>6.38</x:v>
      </x:c>
      <x:c r="E7" s="19" t="str">
        <x:v>2364 + 950 + 1250 + 198 + 224 + 228 + 200 + 168 + 146 + 178 + 210 + 264</x:v>
      </x:c>
      <x:c r="F7" s="20" t="str">
        <x:v>ok</x:v>
      </x:c>
      <x:c r="G7" s="19" t="str"/>
    </x:row>
    <x:row r="8" ht="34" hidden="0" customHeight="1">
      <x:c r="A8" s="15" t="n">
        <x:v>4</x:v>
      </x:c>
      <x:c r="B8" s="16" t="str">
        <x:v>SW_1003</x:v>
      </x:c>
      <x:c r="C8" s="17" t="n">
        <x:v>3218</x:v>
      </x:c>
      <x:c r="D8" s="18" t="n">
        <x:f>C8/1000</x:f>
        <x:v>3.218</x:v>
      </x:c>
      <x:c r="E8" s="19" t="str">
        <x:v>250 + 214 + 159 + 214 + 504 + 378 + 159 + 81 + 171 + 159 + 81 + 154 + 380 + 159 + 155</x:v>
      </x:c>
      <x:c r="F8" s="20" t="str">
        <x:v>ok</x:v>
      </x:c>
      <x:c r="G8" s="19" t="str"/>
    </x:row>
    <x:row r="9" ht="34" hidden="0" customHeight="1">
      <x:c r="A9" s="15" t="n">
        <x:v>5</x:v>
      </x:c>
      <x:c r="B9" s="16" t="str">
        <x:v>LC_1034</x:v>
      </x:c>
      <x:c r="C9" s="17" t="n">
        <x:v>8175</x:v>
      </x:c>
      <x:c r="D9" s="18" t="n">
        <x:f>C9/1000</x:f>
        <x:v>8.175</x:v>
      </x:c>
      <x:c r="E9" s="19" t="str">
        <x:v>285 + 651 + 850 + 450 + 2400 + 34 + 3505</x:v>
      </x:c>
      <x:c r="F9" s="20" t="str">
        <x:v>ok</x:v>
      </x:c>
      <x:c r="G9" s="19" t="str"/>
    </x:row>
    <x:row r="10" ht="34" hidden="0" customHeight="1">
      <x:c r="A10" s="15" t="n">
        <x:v>6</x:v>
      </x:c>
      <x:c r="B10" s="16" t="str">
        <x:v>LC_1042</x:v>
      </x:c>
      <x:c r="C10" s="17" t="n">
        <x:v>10675</x:v>
      </x:c>
      <x:c r="D10" s="18" t="n">
        <x:f>C10/1000</x:f>
        <x:v>10.675</x:v>
      </x:c>
      <x:c r="E10" s="19" t="str">
        <x:v>285 + 651 + 850 + 2950 + 2400 + 34 + 3505</x:v>
      </x:c>
      <x:c r="F10" s="20" t="str">
        <x:v>ok</x:v>
      </x:c>
      <x:c r="G10" s="19" t="str"/>
    </x:row>
    <x:row r="11" ht="34" hidden="0" customHeight="1">
      <x:c r="A11" s="15" t="n">
        <x:v>7</x:v>
      </x:c>
      <x:c r="B11" s="16" t="str">
        <x:v>LC_1040</x:v>
      </x:c>
      <x:c r="C11" s="17" t="n">
        <x:v>4306</x:v>
      </x:c>
      <x:c r="D11" s="18" t="n">
        <x:f>C11/1000</x:f>
        <x:v>4.306</x:v>
      </x:c>
      <x:c r="E11" s="19" t="str">
        <x:v>60 + 1950 + 34 + 650 + 840 + 522 + 250</x:v>
      </x:c>
      <x:c r="F11" s="20" t="str">
        <x:v>ok</x:v>
      </x:c>
      <x:c r="G11" s="19" t="str"/>
    </x:row>
    <x:row r="12" ht="34" hidden="0" customHeight="1">
      <x:c r="A12" s="15" t="n">
        <x:v>8</x:v>
      </x:c>
      <x:c r="B12" s="16" t="str">
        <x:v>SW_1001</x:v>
      </x:c>
      <x:c r="C12" s="17" t="n">
        <x:v>48625</x:v>
      </x:c>
      <x:c r="D12" s="18" t="n">
        <x:f>C12/1000</x:f>
        <x:v>48.625</x:v>
      </x:c>
      <x:c r="E12" s="19" t="str">
        <x:v>23525 + 1000 + 24100</x:v>
      </x:c>
      <x:c r="F12" s="20" t="str">
        <x:v>ok</x:v>
      </x:c>
      <x:c r="G12" s="19" t="str"/>
    </x:row>
    <x:row r="13" ht="34" hidden="0" customHeight="1">
      <x:c r="A13" s="15" t="n">
        <x:v>9</x:v>
      </x:c>
      <x:c r="B13" s="16" t="str">
        <x:v>SW_1009</x:v>
      </x:c>
      <x:c r="C13" s="17" t="n">
        <x:v>860</x:v>
      </x:c>
      <x:c r="D13" s="18" t="n">
        <x:f>C13/1000</x:f>
        <x:v>0.86</x:v>
      </x:c>
      <x:c r="E13" s="19" t="str">
        <x:v>195 + 123 + 244 + 123 + 175</x:v>
      </x:c>
      <x:c r="F13" s="20" t="str">
        <x:v>ok</x:v>
      </x:c>
      <x:c r="G13" s="19" t="str"/>
    </x:row>
    <x:row r="14" ht="34" hidden="0" customHeight="1">
      <x:c r="A14" s="15" t="n">
        <x:v>10</x:v>
      </x:c>
      <x:c r="B14" s="16" t="str">
        <x:v>SW_1012</x:v>
      </x:c>
      <x:c r="C14" s="17" t="n">
        <x:v>5154</x:v>
      </x:c>
      <x:c r="D14" s="18" t="n">
        <x:f>C14/1000</x:f>
        <x:v>5.154</x:v>
      </x:c>
      <x:c r="E14" s="19" t="str">
        <x:v>154 + 244 + 341 + 220 + 188 + 134 + 2450 + 341 + 244 + 149 + 220 + 135 + 134 + 200</x:v>
      </x:c>
      <x:c r="F14" s="20" t="str">
        <x:v>ok</x:v>
      </x:c>
      <x:c r="G14" s="19" t="str"/>
    </x:row>
  </x:sheetData>
  <x:mergeCells>
    <x:mergeCell ref="A1:G1"/>
    <x:mergeCell ref="A2:G2"/>
  </x:mergeCells>
  <x:conditionalFormatting sqref="A5:G14">
    <x:cfRule type="containsText" dxfId="0" priority="1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7" hidden="0" customWidth="1"/>
    <x:col min="3" max="3" width="12" hidden="0" customWidth="1"/>
    <x:col min="4" max="4" width="16" hidden="0" customWidth="1"/>
    <x:col min="5" max="5" width="16" hidden="0" customWidth="1"/>
  </x:cols>
  <x:sheetData>
    <x:row r="1" ht="19.200000762939453" hidden="0" customHeight="1">
      <x:c r="A1" s="1" t="str">
        <x:v>Метрики обработки</x:v>
      </x:c>
      <x:c r="B1" s="1"/>
      <x:c r="C1" s="1"/>
      <x:c r="D1" s="1"/>
      <x:c r="E1" s="1"/>
    </x:row>
    <x:row r="2"/>
    <x:row r="3" ht="15" hidden="0" customHeight="1">
      <x:c r="A3" s="22" t="str">
        <x:v>Модель</x:v>
      </x:c>
      <x:c r="B3" s="16" t="str">
        <x:v>vis-google/gemini-3-flash-pre</x:v>
      </x:c>
    </x:row>
    <x:row r="4" ht="15" hidden="0" customHeight="1">
      <x:c r="A4" s="22" t="str">
        <x:v>OCR-сервис</x:v>
      </x:c>
      <x:c r="B4" s="16" t="str">
        <x:v>Не используется; встроенный текст PDF извлекается PyMuPDF</x:v>
      </x:c>
    </x:row>
    <x:row r="5" ht="15" hidden="0" customHeight="1">
      <x:c r="A5" s="22" t="str">
        <x:v>Обращений к ИИ</x:v>
      </x:c>
      <x:c r="B5" s="16" t="n">
        <x:v>22</x:v>
      </x:c>
    </x:row>
    <x:row r="6" ht="15" hidden="0" customHeight="1">
      <x:c r="A6" s="22" t="str">
        <x:v>Обращений на страницу</x:v>
      </x:c>
      <x:c r="B6" s="16" t="n">
        <x:v>2.2</x:v>
      </x:c>
    </x:row>
    <x:row r="7" ht="15" hidden="0" customHeight="1">
      <x:c r="A7" s="22" t="str">
        <x:v>Общее время API, с</x:v>
      </x:c>
      <x:c r="B7" s="16" t="n">
        <x:v>156.55</x:v>
      </x:c>
    </x:row>
    <x:row r="8" ht="15" hidden="0" customHeight="1">
      <x:c r="A8" s="22" t="str">
        <x:v>Среднее время на страницу, с</x:v>
      </x:c>
      <x:c r="B8" s="16" t="n">
        <x:v>15.655</x:v>
      </x:c>
    </x:row>
    <x:row r="9" ht="15" hidden="0" customHeight="1">
      <x:c r="A9" s="22" t="str">
        <x:v>Общая стоимость, ₽</x:v>
      </x:c>
      <x:c r="B9" s="16" t="n">
        <x:v>26.88465</x:v>
      </x:c>
    </x:row>
    <x:row r="10" ht="15" hidden="0" customHeight="1">
      <x:c r="A10" s="22" t="str">
        <x:v>Средняя стоимость страницы, ₽</x:v>
      </x:c>
      <x:c r="B10" s="16" t="n">
        <x:v>2.688465</x:v>
      </x:c>
    </x:row>
    <x:row r="11"/>
    <x:row r="12" ht="15" hidden="0" customHeight="1">
      <x:c r="A12" s="23" t="str">
        <x:v>Лист</x:v>
      </x:c>
      <x:c r="B12" s="23" t="str">
        <x:v>Модель</x:v>
      </x:c>
      <x:c r="C12" s="23" t="str">
        <x:v>Запросов</x:v>
      </x:c>
      <x:c r="D12" s="23" t="str">
        <x:v>Время, с</x:v>
      </x:c>
      <x:c r="E12" s="23" t="str">
        <x:v>Стоимость, ₽</x:v>
      </x:c>
    </x:row>
    <x:row r="13" ht="15" hidden="0" customHeight="1">
      <x:c r="A13" s="16" t="n">
        <x:v>1</x:v>
      </x:c>
      <x:c r="B13" s="16" t="str">
        <x:v>vis-google/gemini-3-flash-pre</x:v>
      </x:c>
      <x:c r="C13" s="16" t="n">
        <x:v>2</x:v>
      </x:c>
      <x:c r="D13" s="24" t="n">
        <x:v>10.853</x:v>
      </x:c>
      <x:c r="E13" s="25" t="n">
        <x:v>1.72605</x:v>
      </x:c>
    </x:row>
    <x:row r="14" ht="15" hidden="0" customHeight="1">
      <x:c r="A14" s="16" t="n">
        <x:v>2</x:v>
      </x:c>
      <x:c r="B14" s="16" t="str">
        <x:v>vis-google/gemini-3-flash-pre</x:v>
      </x:c>
      <x:c r="C14" s="16" t="n">
        <x:v>2</x:v>
      </x:c>
      <x:c r="D14" s="24" t="n">
        <x:v>18.506</x:v>
      </x:c>
      <x:c r="E14" s="25" t="n">
        <x:v>3.00225</x:v>
      </x:c>
    </x:row>
    <x:row r="15" ht="15" hidden="0" customHeight="1">
      <x:c r="A15" s="16" t="n">
        <x:v>3</x:v>
      </x:c>
      <x:c r="B15" s="16" t="str">
        <x:v>vis-google/gemini-3-flash-pre</x:v>
      </x:c>
      <x:c r="C15" s="16" t="n">
        <x:v>2</x:v>
      </x:c>
      <x:c r="D15" s="24" t="n">
        <x:v>17.696</x:v>
      </x:c>
      <x:c r="E15" s="25" t="n">
        <x:v>2.82555</x:v>
      </x:c>
    </x:row>
    <x:row r="16" ht="15" hidden="0" customHeight="1">
      <x:c r="A16" s="16" t="n">
        <x:v>4</x:v>
      </x:c>
      <x:c r="B16" s="16" t="str">
        <x:v>vis-google/gemini-3-flash-pre</x:v>
      </x:c>
      <x:c r="C16" s="16" t="n">
        <x:v>2</x:v>
      </x:c>
      <x:c r="D16" s="24" t="n">
        <x:v>18.989</x:v>
      </x:c>
      <x:c r="E16" s="25" t="n">
        <x:v>3.28935</x:v>
      </x:c>
    </x:row>
    <x:row r="17" ht="15" hidden="0" customHeight="1">
      <x:c r="A17" s="16" t="n">
        <x:v>5</x:v>
      </x:c>
      <x:c r="B17" s="16" t="str">
        <x:v>vis-google/gemini-3-flash-pre</x:v>
      </x:c>
      <x:c r="C17" s="16" t="n">
        <x:v>2</x:v>
      </x:c>
      <x:c r="D17" s="24" t="n">
        <x:v>11.195</x:v>
      </x:c>
      <x:c r="E17" s="25" t="n">
        <x:v>2.09355</x:v>
      </x:c>
    </x:row>
    <x:row r="18" ht="15" hidden="0" customHeight="1">
      <x:c r="A18" s="16" t="n">
        <x:v>6</x:v>
      </x:c>
      <x:c r="B18" s="16" t="str">
        <x:v>vis-google/gemini-3-flash-pre</x:v>
      </x:c>
      <x:c r="C18" s="16" t="n">
        <x:v>2</x:v>
      </x:c>
      <x:c r="D18" s="24" t="n">
        <x:v>12.018</x:v>
      </x:c>
      <x:c r="E18" s="25" t="n">
        <x:v>2.2107</x:v>
      </x:c>
    </x:row>
    <x:row r="19" ht="15" hidden="0" customHeight="1">
      <x:c r="A19" s="16" t="n">
        <x:v>7</x:v>
      </x:c>
      <x:c r="B19" s="16" t="str">
        <x:v>vis-google/gemini-3-flash-pre</x:v>
      </x:c>
      <x:c r="C19" s="16" t="n">
        <x:v>2</x:v>
      </x:c>
      <x:c r="D19" s="24" t="n">
        <x:v>11.044</x:v>
      </x:c>
      <x:c r="E19" s="25" t="n">
        <x:v>2.03715</x:v>
      </x:c>
    </x:row>
    <x:row r="20" ht="15" hidden="0" customHeight="1">
      <x:c r="A20" s="16" t="n">
        <x:v>8</x:v>
      </x:c>
      <x:c r="B20" s="16" t="str">
        <x:v>vis-google/gemini-3-flash-pre</x:v>
      </x:c>
      <x:c r="C20" s="16" t="n">
        <x:v>2</x:v>
      </x:c>
      <x:c r="D20" s="24" t="n">
        <x:v>11.595</x:v>
      </x:c>
      <x:c r="E20" s="25" t="n">
        <x:v>1.9806</x:v>
      </x:c>
    </x:row>
    <x:row r="21" ht="15" hidden="0" customHeight="1">
      <x:c r="A21" s="16" t="n">
        <x:v>9</x:v>
      </x:c>
      <x:c r="B21" s="16" t="str">
        <x:v>vis-google/gemini-3-flash-pre</x:v>
      </x:c>
      <x:c r="C21" s="16" t="n">
        <x:v>2</x:v>
      </x:c>
      <x:c r="D21" s="24" t="n">
        <x:v>10.642</x:v>
      </x:c>
      <x:c r="E21" s="25" t="n">
        <x:v>1.53465</x:v>
      </x:c>
    </x:row>
    <x:row r="22" ht="15" hidden="0" customHeight="1">
      <x:c r="A22" s="16" t="n">
        <x:v>10</x:v>
      </x:c>
      <x:c r="B22" s="16" t="str">
        <x:v>vis-google/gemini-3-flash-pre</x:v>
      </x:c>
      <x:c r="C22" s="16" t="n">
        <x:v>2</x:v>
      </x:c>
      <x:c r="D22" s="24" t="n">
        <x:v>16.767</x:v>
      </x:c>
      <x:c r="E22" s="25" t="n">
        <x:v>3.10155</x:v>
      </x:c>
    </x:row>
    <x:row r="23"/>
    <x:row r="24" ht="15" hidden="0" customHeight="1">
      <x:c r="A24" s="22" t="str">
        <x:v>Тариф входных токенов, ₽/1000</x:v>
      </x:c>
      <x:c r="B24" s="26" t="n">
        <x:v>0.15</x:v>
      </x:c>
    </x:row>
    <x:row r="25" ht="15" hidden="0" customHeight="1">
      <x:c r="A25" s="22" t="str">
        <x:v>Тариф выходных токенов, ₽/1000</x:v>
      </x:c>
      <x:c r="B25" s="26" t="n">
        <x:v>0.9</x:v>
      </x:c>
    </x:row>
    <x:row r="26" ht="15" hidden="0" customHeight="1">
      <x:c r="A26" s="22" t="str">
        <x:v>Расчёт</x:v>
      </x:c>
      <x:c r="B26" s="26" t="str">
        <x:v>input_tokens / 1000 × input_rate + output_tokens / 1000 × output_rate</x:v>
      </x:c>
    </x:row>
  </x:sheetData>
  <x:mergeCells>
    <x:mergeCell ref="A1:E1"/>
  </x:mergeCells>
  <x:pageMargins left="0.7" right="0.7" top="0.75" bottom="0.75" header="0.3" footer="0.3"/>
</x:worksheet>
</file>